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800b8940126e8b/Desktop/freelancing projects/Sales Data Analysis/Cleaned Data/"/>
    </mc:Choice>
  </mc:AlternateContent>
  <xr:revisionPtr revIDLastSave="410" documentId="8_{185890AE-0C65-4598-BCF7-C6F80A83746E}" xr6:coauthVersionLast="47" xr6:coauthVersionMax="47" xr10:uidLastSave="{D441C7A9-8D10-4427-8E30-C5D493FB2B7E}"/>
  <bookViews>
    <workbookView xWindow="-108" yWindow="-108" windowWidth="23256" windowHeight="12456" activeTab="3" xr2:uid="{310DA6CA-F7B1-403C-90A2-CEB01606A5B8}"/>
  </bookViews>
  <sheets>
    <sheet name="Sheet2" sheetId="3" r:id="rId1"/>
    <sheet name="Sheet3" sheetId="4" r:id="rId2"/>
    <sheet name="Sheet4" sheetId="5" r:id="rId3"/>
    <sheet name="Dashboard" sheetId="8" r:id="rId4"/>
    <sheet name="Sheet5" sheetId="6" r:id="rId5"/>
    <sheet name="Sheet6" sheetId="7" r:id="rId6"/>
    <sheet name="Sales_Data" sheetId="1" r:id="rId7"/>
  </sheets>
  <definedNames>
    <definedName name="_xlnm._FilterDatabase" localSheetId="6" hidden="1">Sales_Data!$A$1:$J$21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8" l="1"/>
  <c r="J24" i="1"/>
  <c r="H24" i="1"/>
  <c r="G24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</calcChain>
</file>

<file path=xl/sharedStrings.xml><?xml version="1.0" encoding="utf-8"?>
<sst xmlns="http://schemas.openxmlformats.org/spreadsheetml/2006/main" count="153" uniqueCount="57">
  <si>
    <t>Order_ID</t>
  </si>
  <si>
    <t>Order_Date</t>
  </si>
  <si>
    <t>Product</t>
  </si>
  <si>
    <t>Category</t>
  </si>
  <si>
    <t>Region</t>
  </si>
  <si>
    <t>Quantity</t>
  </si>
  <si>
    <t>Sales</t>
  </si>
  <si>
    <t>Cost</t>
  </si>
  <si>
    <t>Customer_Type</t>
  </si>
  <si>
    <t>ORD001</t>
  </si>
  <si>
    <t>Laptop</t>
  </si>
  <si>
    <t>Electronics</t>
  </si>
  <si>
    <t>Chennai</t>
  </si>
  <si>
    <t>Regular</t>
  </si>
  <si>
    <t>ORD002</t>
  </si>
  <si>
    <t>Mobile</t>
  </si>
  <si>
    <t>Villupuram</t>
  </si>
  <si>
    <t>New</t>
  </si>
  <si>
    <t>ORD003</t>
  </si>
  <si>
    <t>Office Chair</t>
  </si>
  <si>
    <t>Furniture</t>
  </si>
  <si>
    <t>Pondicherry</t>
  </si>
  <si>
    <t>ORD004</t>
  </si>
  <si>
    <t>ORD005</t>
  </si>
  <si>
    <t>Desk</t>
  </si>
  <si>
    <t>ORD006</t>
  </si>
  <si>
    <t>ORD007</t>
  </si>
  <si>
    <t>Headphones</t>
  </si>
  <si>
    <t>Accessories</t>
  </si>
  <si>
    <t>ORD008</t>
  </si>
  <si>
    <t>Keyboard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</si>
  <si>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</si>
  <si>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</si>
  <si>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</si>
  <si>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</si>
  <si>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</si>
  <si>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</si>
  <si>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</si>
  <si>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</si>
  <si>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</si>
  <si>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</si>
  <si>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</si>
  <si>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</si>
  <si>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Profit</t>
  </si>
  <si>
    <t>Row Labels</t>
  </si>
  <si>
    <t>Grand Total</t>
  </si>
  <si>
    <t>Sum of Profit</t>
  </si>
  <si>
    <t>Sum of Sales</t>
  </si>
  <si>
    <t>Sum of Quantity</t>
  </si>
  <si>
    <t>SALES &amp; PROFIT ANALYSIS DASHBOARD</t>
  </si>
  <si>
    <t xml:space="preserve"> Total Quantity</t>
  </si>
  <si>
    <t xml:space="preserve">         Total Sales</t>
  </si>
  <si>
    <t xml:space="preserve">     Total Cost</t>
  </si>
  <si>
    <t xml:space="preserve">     Total Profit</t>
  </si>
  <si>
    <t>profit margin</t>
  </si>
  <si>
    <t xml:space="preserve">           January-February 2026| Sales Performance Analysis</t>
  </si>
  <si>
    <t xml:space="preserve">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</si>
</sst>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Imprint MT Shadow"/>
      <family val="5"/>
    </font>
    <font>
      <sz val="15"/>
      <color theme="1"/>
      <name val="Imprint MT Shadow"/>
      <family val="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165" fontId="2" fillId="0" borderId="0" xfId="0" applyNumberFormat="1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0" fontId="2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[Sales_Profit_Analysis_Dashboard.xlsx]Sheet3!PivotTable3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Chennai</c:v>
                </c:pt>
                <c:pt idx="1">
                  <c:v>Pondicherry</c:v>
                </c:pt>
                <c:pt idx="2">
                  <c:v>Villupuram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789000</c:v>
                </c:pt>
                <c:pt idx="1">
                  <c:v>285000</c:v>
                </c:pt>
                <c:pt idx="2">
                  <c:v>413000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8-4477-AC70-32760069C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8174943"/>
        <c:axId val="1487813951"/>
      </c:barChart>
      <c:catAx>
        <c:axId val="190817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813951"/>
        <c:crosses val="autoZero"/>
        <c:auto val="1"/>
        <c:lblAlgn val="ctr"/>
        <c:lblOffset val="100"/>
        <c:noMultiLvlLbl val="0"/>
      </c:catAx>
      <c:valAx>
        <c:axId val="148781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17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[Sales_Profit_Analysis_Dashboard.xlsx]Sheet4!PivotTable4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A3-4580-8D15-DF2A97E40D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A3-4580-8D15-DF2A97E40D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A3-4580-8D15-DF2A97E40D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129000</c:v>
                </c:pt>
                <c:pt idx="1">
                  <c:v>1070000</c:v>
                </c:pt>
                <c:pt idx="2">
                  <c:v>288000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A3-4580-8D15-DF2A97E40DC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[Sales_Profit_Analysis_Dashboard.xlsx]Sheet5!PivotTable5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Customer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65-4BFE-8B9A-6E3BB54581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65-4BFE-8B9A-6E3BB54581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Sheet5!$A$4:$A$6</c:f>
              <c:strCache>
                <c:ptCount val="2"/>
                <c:pt idx="0">
                  <c:v>New</c:v>
                </c:pt>
                <c:pt idx="1">
                  <c:v>Regular</c:v>
                </c:pt>
              </c:strCache>
            </c:strRef>
          </c:cat>
          <c:val>
            <c:numRef>
              <c:f>Sheet5!$B$4:$B$6</c:f>
              <c:numCache>
                <c:formatCode>General</c:formatCode>
                <c:ptCount val="2"/>
                <c:pt idx="0">
                  <c:v>635000</c:v>
                </c:pt>
                <c:pt idx="1">
                  <c:v>852000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65-4BFE-8B9A-6E3BB5458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[Sales_Profit_Analysis_Dashboard.xlsx]Sheet2!PivotTable2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Product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Desk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Mobile</c:v>
                </c:pt>
                <c:pt idx="5">
                  <c:v>Office Chair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36000</c:v>
                </c:pt>
                <c:pt idx="1">
                  <c:v>25000</c:v>
                </c:pt>
                <c:pt idx="2">
                  <c:v>18000</c:v>
                </c:pt>
                <c:pt idx="3">
                  <c:v>90000</c:v>
                </c:pt>
                <c:pt idx="4">
                  <c:v>115000</c:v>
                </c:pt>
                <c:pt idx="5">
                  <c:v>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7-47CE-A2DC-347699C51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8174943"/>
        <c:axId val="1487813951"/>
      </c:barChart>
      <c:catAx>
        <c:axId val="190817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813951"/>
        <c:crosses val="autoZero"/>
        <c:auto val="1"/>
        <c:lblAlgn val="ctr"/>
        <c:lblOffset val="100"/>
        <c:noMultiLvlLbl val="0"/>
      </c:catAx>
      <c:valAx>
        <c:axId val="148781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174943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</xdr:colOff>
      <xdr:row>7</xdr:row>
      <xdr:rowOff>29882</xdr:rowOff>
    </xdr:from>
    <xdr:to>
      <xdr:col>4</xdr:col>
      <xdr:colOff>560295</xdr:colOff>
      <xdr:row>21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B5E2EF-20C0-4E08-9116-8B47B74180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58150</xdr:colOff>
      <xdr:row>24</xdr:row>
      <xdr:rowOff>44702</xdr:rowOff>
    </xdr:from>
    <xdr:to>
      <xdr:col>4</xdr:col>
      <xdr:colOff>635000</xdr:colOff>
      <xdr:row>38</xdr:row>
      <xdr:rowOff>147797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B1CEEF-D00B-4873-A9FF-38F44E6DB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52294</xdr:colOff>
      <xdr:row>24</xdr:row>
      <xdr:rowOff>29882</xdr:rowOff>
    </xdr:from>
    <xdr:to>
      <xdr:col>9</xdr:col>
      <xdr:colOff>121478</xdr:colOff>
      <xdr:row>38</xdr:row>
      <xdr:rowOff>134471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FDA490-1102-4BFC-B8FE-AF9CEAD7D8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93079</xdr:colOff>
      <xdr:row>7</xdr:row>
      <xdr:rowOff>22411</xdr:rowOff>
    </xdr:from>
    <xdr:to>
      <xdr:col>9</xdr:col>
      <xdr:colOff>132522</xdr:colOff>
      <xdr:row>22</xdr:row>
      <xdr:rowOff>22361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88A71A-8373-4DA9-839D-DAEBAD4DA9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PC" refreshedDate="46246.873887847221" createdVersion="8" refreshedVersion="8" minRefreshableVersion="3" recordCount="20" xr:uid="{BFF7BD44-5A7A-4361-9059-22AD767C8DA1}">
  <cacheSource type="worksheet">
    <worksheetSource ref="A1:J21" sheet="Sales_Data"/>
  </cacheSource>
  <cacheFields count="10">
    <cacheField name="Order_ID" numFmtId="0">
      <sharedItems/>
    </cacheField>
    <cacheField name="Order_Date" numFmtId="14">
      <sharedItems containsSemiMixedTypes="0" containsNonDate="0" containsDate="1" containsString="0" minDate="2026-01-01T00:00:00" maxDate="2026-02-26T00:00:00"/>
    </cacheField>
    <cacheField name="Product" numFmtId="0">
      <sharedItems count="6">
        <s v="Laptop"/>
        <s v="Mobile"/>
        <s v="Office Chair"/>
        <s v="Desk"/>
        <s v="Headphones"/>
        <s v="Keyboard"/>
      </sharedItems>
    </cacheField>
    <cacheField name="Category" numFmtId="0">
      <sharedItems count="3">
        <s v="Electronics"/>
        <s v="Furniture"/>
        <s v="Accessories"/>
      </sharedItems>
    </cacheField>
    <cacheField name="Region" numFmtId="0">
      <sharedItems count="3">
        <s v="Chennai"/>
        <s v="Villupuram"/>
        <s v="Pondicherry"/>
      </sharedItems>
    </cacheField>
    <cacheField name="Quantity" numFmtId="0">
      <sharedItems containsSemiMixedTypes="0" containsString="0" containsNumber="1" containsInteger="1" minValue="1" maxValue="15"/>
    </cacheField>
    <cacheField name="Sales" numFmtId="0">
      <sharedItems containsSemiMixedTypes="0" containsString="0" containsNumber="1" containsInteger="1" minValue="24000" maxValue="165000"/>
    </cacheField>
    <cacheField name="Cost" numFmtId="0">
      <sharedItems containsSemiMixedTypes="0" containsString="0" containsNumber="1" containsInteger="1" minValue="16000" maxValue="135000"/>
    </cacheField>
    <cacheField name="Customer_Type" numFmtId="0">
      <sharedItems count="2">
        <s v="Regular"/>
        <s v="New"/>
      </sharedItems>
    </cacheField>
    <cacheField name="Profit" numFmtId="0">
      <sharedItems containsSemiMixedTypes="0" containsString="0" containsNumber="1" containsInteger="1" minValue="8000" maxValue="3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ORD001"/>
    <d v="2026-01-01T00:00:00"/>
    <x v="0"/>
    <x v="0"/>
    <x v="0"/>
    <n v="2"/>
    <n v="110000"/>
    <n v="90000"/>
    <x v="0"/>
    <n v="20000"/>
  </r>
  <r>
    <s v="ORD002"/>
    <d v="2026-01-03T00:00:00"/>
    <x v="1"/>
    <x v="0"/>
    <x v="1"/>
    <n v="3"/>
    <n v="75000"/>
    <n v="60000"/>
    <x v="1"/>
    <n v="15000"/>
  </r>
  <r>
    <s v="ORD003"/>
    <d v="2026-01-05T00:00:00"/>
    <x v="2"/>
    <x v="1"/>
    <x v="2"/>
    <n v="5"/>
    <n v="40000"/>
    <n v="30000"/>
    <x v="0"/>
    <n v="10000"/>
  </r>
  <r>
    <s v="ORD004"/>
    <d v="2026-01-08T00:00:00"/>
    <x v="0"/>
    <x v="0"/>
    <x v="0"/>
    <n v="1"/>
    <n v="55000"/>
    <n v="45000"/>
    <x v="1"/>
    <n v="10000"/>
  </r>
  <r>
    <s v="ORD005"/>
    <d v="2026-01-10T00:00:00"/>
    <x v="3"/>
    <x v="1"/>
    <x v="1"/>
    <n v="4"/>
    <n v="48000"/>
    <n v="36000"/>
    <x v="0"/>
    <n v="12000"/>
  </r>
  <r>
    <s v="ORD006"/>
    <d v="2026-01-12T00:00:00"/>
    <x v="1"/>
    <x v="0"/>
    <x v="0"/>
    <n v="5"/>
    <n v="125000"/>
    <n v="100000"/>
    <x v="0"/>
    <n v="25000"/>
  </r>
  <r>
    <s v="ORD007"/>
    <d v="2026-01-15T00:00:00"/>
    <x v="4"/>
    <x v="2"/>
    <x v="2"/>
    <n v="10"/>
    <n v="30000"/>
    <n v="20000"/>
    <x v="1"/>
    <n v="10000"/>
  </r>
  <r>
    <s v="ORD008"/>
    <d v="2026-01-18T00:00:00"/>
    <x v="5"/>
    <x v="2"/>
    <x v="0"/>
    <n v="8"/>
    <n v="24000"/>
    <n v="16000"/>
    <x v="0"/>
    <n v="8000"/>
  </r>
  <r>
    <s v="ORD009"/>
    <d v="2026-01-20T00:00:00"/>
    <x v="0"/>
    <x v="0"/>
    <x v="1"/>
    <n v="2"/>
    <n v="110000"/>
    <n v="90000"/>
    <x v="1"/>
    <n v="20000"/>
  </r>
  <r>
    <s v="ORD010"/>
    <d v="2026-01-23T00:00:00"/>
    <x v="2"/>
    <x v="1"/>
    <x v="0"/>
    <n v="6"/>
    <n v="48000"/>
    <n v="36000"/>
    <x v="0"/>
    <n v="12000"/>
  </r>
  <r>
    <s v="ORD011"/>
    <d v="2026-01-25T00:00:00"/>
    <x v="1"/>
    <x v="0"/>
    <x v="2"/>
    <n v="4"/>
    <n v="100000"/>
    <n v="80000"/>
    <x v="1"/>
    <n v="20000"/>
  </r>
  <r>
    <s v="ORD012"/>
    <d v="2026-01-28T00:00:00"/>
    <x v="3"/>
    <x v="1"/>
    <x v="0"/>
    <n v="3"/>
    <n v="36000"/>
    <n v="27000"/>
    <x v="0"/>
    <n v="9000"/>
  </r>
  <r>
    <s v="ORD013"/>
    <d v="2026-02-02T00:00:00"/>
    <x v="0"/>
    <x v="0"/>
    <x v="0"/>
    <n v="3"/>
    <n v="165000"/>
    <n v="135000"/>
    <x v="0"/>
    <n v="30000"/>
  </r>
  <r>
    <s v="ORD014"/>
    <d v="2026-02-05T00:00:00"/>
    <x v="1"/>
    <x v="0"/>
    <x v="1"/>
    <n v="6"/>
    <n v="150000"/>
    <n v="120000"/>
    <x v="1"/>
    <n v="30000"/>
  </r>
  <r>
    <s v="ORD015"/>
    <d v="2026-02-08T00:00:00"/>
    <x v="4"/>
    <x v="2"/>
    <x v="0"/>
    <n v="15"/>
    <n v="45000"/>
    <n v="30000"/>
    <x v="0"/>
    <n v="15000"/>
  </r>
  <r>
    <s v="ORD016"/>
    <d v="2026-02-11T00:00:00"/>
    <x v="3"/>
    <x v="1"/>
    <x v="2"/>
    <n v="5"/>
    <n v="60000"/>
    <n v="45000"/>
    <x v="1"/>
    <n v="15000"/>
  </r>
  <r>
    <s v="ORD017"/>
    <d v="2026-02-14T00:00:00"/>
    <x v="5"/>
    <x v="2"/>
    <x v="1"/>
    <n v="10"/>
    <n v="30000"/>
    <n v="20000"/>
    <x v="0"/>
    <n v="10000"/>
  </r>
  <r>
    <s v="ORD018"/>
    <d v="2026-02-18T00:00:00"/>
    <x v="0"/>
    <x v="0"/>
    <x v="2"/>
    <n v="1"/>
    <n v="55000"/>
    <n v="45000"/>
    <x v="1"/>
    <n v="10000"/>
  </r>
  <r>
    <s v="ORD019"/>
    <d v="2026-02-21T00:00:00"/>
    <x v="2"/>
    <x v="1"/>
    <x v="0"/>
    <n v="7"/>
    <n v="56000"/>
    <n v="42000"/>
    <x v="0"/>
    <n v="14000"/>
  </r>
  <r>
    <s v="ORD020"/>
    <d v="2026-02-25T00:00:00"/>
    <x v="1"/>
    <x v="0"/>
    <x v="0"/>
    <n v="5"/>
    <n v="125000"/>
    <n v="100000"/>
    <x v="0"/>
    <n v="2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A26F27-56D6-4DF9-985D-57A108CE2EB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0">
    <pivotField showAll="0"/>
    <pivotField numFmtId="14" showAll="0"/>
    <pivotField axis="axisRow" showAll="0">
      <items count="7">
        <item x="3"/>
        <item x="4"/>
        <item x="5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9" baseField="0" baseItem="0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D76311-96E3-4CFD-BD95-3A5C7F4ED7C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10">
    <pivotField showAll="0"/>
    <pivotField numFmtId="14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6" baseField="0" baseItem="0"/>
  </dataFields>
  <chartFormats count="2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7C5DC6-370E-4A74-B9F8-69B221A8651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0">
    <pivotField showAll="0"/>
    <pivotField numFmtId="14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6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8FF42-B89D-499D-9CB6-ABC28BE5990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0"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Sales" fld="6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ADE134-76F0-4585-A06C-27B7310DDBF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0">
    <pivotField showAll="0"/>
    <pivotField numFmtId="14" showAll="0"/>
    <pivotField axis="axisRow" showAll="0">
      <items count="7">
        <item x="3"/>
        <item x="4"/>
        <item x="5"/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8FC90-2105-4498-B58E-940DB49F6EC1}">
  <dimension ref="A3:B10"/>
  <sheetViews>
    <sheetView zoomScale="70" workbookViewId="0">
      <selection activeCell="M13" sqref="M13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2" t="s">
        <v>44</v>
      </c>
      <c r="B3" t="s">
        <v>46</v>
      </c>
    </row>
    <row r="4" spans="1:2" x14ac:dyDescent="0.3">
      <c r="A4" s="3" t="s">
        <v>24</v>
      </c>
      <c r="B4">
        <v>36000</v>
      </c>
    </row>
    <row r="5" spans="1:2" x14ac:dyDescent="0.3">
      <c r="A5" s="3" t="s">
        <v>27</v>
      </c>
      <c r="B5">
        <v>25000</v>
      </c>
    </row>
    <row r="6" spans="1:2" x14ac:dyDescent="0.3">
      <c r="A6" s="3" t="s">
        <v>30</v>
      </c>
      <c r="B6">
        <v>18000</v>
      </c>
    </row>
    <row r="7" spans="1:2" x14ac:dyDescent="0.3">
      <c r="A7" s="3" t="s">
        <v>10</v>
      </c>
      <c r="B7">
        <v>90000</v>
      </c>
    </row>
    <row r="8" spans="1:2" x14ac:dyDescent="0.3">
      <c r="A8" s="3" t="s">
        <v>15</v>
      </c>
      <c r="B8">
        <v>115000</v>
      </c>
    </row>
    <row r="9" spans="1:2" x14ac:dyDescent="0.3">
      <c r="A9" s="3" t="s">
        <v>19</v>
      </c>
      <c r="B9">
        <v>36000</v>
      </c>
    </row>
    <row r="10" spans="1:2" x14ac:dyDescent="0.3">
      <c r="A10" s="3" t="s">
        <v>45</v>
      </c>
      <c r="B10">
        <v>320000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8AAF-A04A-4B48-8C56-9DBAEF6DAA5C}">
  <dimension ref="A3:B7"/>
  <sheetViews>
    <sheetView workbookViewId="0">
      <selection activeCell="M5" sqref="M5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44</v>
      </c>
      <c r="B3" t="s">
        <v>47</v>
      </c>
    </row>
    <row r="4" spans="1:2" x14ac:dyDescent="0.3">
      <c r="A4" s="3" t="s">
        <v>12</v>
      </c>
      <c r="B4">
        <v>789000</v>
      </c>
    </row>
    <row r="5" spans="1:2" x14ac:dyDescent="0.3">
      <c r="A5" s="3" t="s">
        <v>21</v>
      </c>
      <c r="B5">
        <v>285000</v>
      </c>
    </row>
    <row r="6" spans="1:2" x14ac:dyDescent="0.3">
      <c r="A6" s="3" t="s">
        <v>16</v>
      </c>
      <c r="B6">
        <v>413000</v>
      </c>
    </row>
    <row r="7" spans="1:2" x14ac:dyDescent="0.3">
      <c r="A7" s="3" t="s">
        <v>45</v>
      </c>
      <c r="B7">
        <v>1487000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07DE0-75F0-4A7E-A393-C93FC3A7BC34}">
  <dimension ref="A3:B7"/>
  <sheetViews>
    <sheetView workbookViewId="0">
      <selection activeCell="N18" sqref="N18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44</v>
      </c>
      <c r="B3" t="s">
        <v>47</v>
      </c>
    </row>
    <row r="4" spans="1:2" x14ac:dyDescent="0.3">
      <c r="A4" s="3" t="s">
        <v>28</v>
      </c>
      <c r="B4">
        <v>129000</v>
      </c>
    </row>
    <row r="5" spans="1:2" x14ac:dyDescent="0.3">
      <c r="A5" s="3" t="s">
        <v>11</v>
      </c>
      <c r="B5">
        <v>1070000</v>
      </c>
    </row>
    <row r="6" spans="1:2" x14ac:dyDescent="0.3">
      <c r="A6" s="3" t="s">
        <v>20</v>
      </c>
      <c r="B6">
        <v>288000</v>
      </c>
    </row>
    <row r="7" spans="1:2" x14ac:dyDescent="0.3">
      <c r="A7" s="3" t="s">
        <v>45</v>
      </c>
      <c r="B7">
        <v>1487000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0C3F7-8D82-463F-A034-F8E872979235}">
  <dimension ref="A2:J5"/>
  <sheetViews>
    <sheetView tabSelected="1" zoomScale="70" workbookViewId="0">
      <selection activeCell="N21" sqref="N21"/>
    </sheetView>
  </sheetViews>
  <sheetFormatPr defaultRowHeight="14.4" x14ac:dyDescent="0.3"/>
  <cols>
    <col min="1" max="1" width="10.21875" customWidth="1"/>
    <col min="2" max="2" width="14.21875" bestFit="1" customWidth="1"/>
    <col min="3" max="3" width="9.77734375" customWidth="1"/>
    <col min="4" max="4" width="14" bestFit="1" customWidth="1"/>
    <col min="5" max="5" width="11.77734375" customWidth="1"/>
    <col min="6" max="6" width="15.6640625" customWidth="1"/>
    <col min="7" max="7" width="8.88671875" customWidth="1"/>
    <col min="8" max="8" width="13" customWidth="1"/>
    <col min="9" max="9" width="10.21875" customWidth="1"/>
    <col min="10" max="10" width="13" bestFit="1" customWidth="1"/>
  </cols>
  <sheetData>
    <row r="2" spans="1:10" ht="25.8" x14ac:dyDescent="0.5">
      <c r="B2" s="6" t="s">
        <v>49</v>
      </c>
      <c r="C2" s="6"/>
      <c r="D2" s="6"/>
      <c r="E2" s="6"/>
      <c r="F2" s="6"/>
      <c r="G2" s="6"/>
      <c r="H2" s="6"/>
    </row>
    <row r="3" spans="1:10" ht="25.2" customHeight="1" x14ac:dyDescent="0.4">
      <c r="A3" t="s">
        <v>56</v>
      </c>
      <c r="B3" s="8" t="s">
        <v>55</v>
      </c>
      <c r="C3" s="7"/>
      <c r="D3" s="7"/>
      <c r="E3" s="7"/>
      <c r="F3" s="7"/>
      <c r="G3" s="7"/>
      <c r="H3" s="7"/>
    </row>
    <row r="4" spans="1:10" x14ac:dyDescent="0.3">
      <c r="B4" s="5" t="s">
        <v>51</v>
      </c>
      <c r="D4" s="5" t="s">
        <v>52</v>
      </c>
      <c r="F4" s="5" t="s">
        <v>53</v>
      </c>
      <c r="H4" s="4" t="s">
        <v>50</v>
      </c>
      <c r="J4" s="4" t="s">
        <v>54</v>
      </c>
    </row>
    <row r="5" spans="1:10" x14ac:dyDescent="0.3">
      <c r="B5" s="5">
        <v>1487000</v>
      </c>
      <c r="D5" s="5">
        <v>1167000</v>
      </c>
      <c r="F5" s="5">
        <v>320000</v>
      </c>
      <c r="H5" s="4">
        <v>105</v>
      </c>
      <c r="J5" s="9">
        <f>320000/1487000</f>
        <v>0.21519838601210492</v>
      </c>
    </row>
  </sheetData>
  <mergeCells count="2">
    <mergeCell ref="B2:H2"/>
    <mergeCell ref="B3:H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77103-79B4-4AAE-97CC-576D91B23496}">
  <dimension ref="A3:B6"/>
  <sheetViews>
    <sheetView workbookViewId="0">
      <selection activeCell="N13" sqref="N1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44</v>
      </c>
      <c r="B3" t="s">
        <v>47</v>
      </c>
    </row>
    <row r="4" spans="1:2" x14ac:dyDescent="0.3">
      <c r="A4" s="3" t="s">
        <v>17</v>
      </c>
      <c r="B4">
        <v>635000</v>
      </c>
    </row>
    <row r="5" spans="1:2" x14ac:dyDescent="0.3">
      <c r="A5" s="3" t="s">
        <v>13</v>
      </c>
      <c r="B5">
        <v>852000</v>
      </c>
    </row>
    <row r="6" spans="1:2" x14ac:dyDescent="0.3">
      <c r="A6" s="3" t="s">
        <v>45</v>
      </c>
      <c r="B6">
        <v>1487000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AAC85-954B-452A-A05F-CB17E70D554A}">
  <dimension ref="A3:B10"/>
  <sheetViews>
    <sheetView workbookViewId="0">
      <selection activeCell="A4" sqref="A4:B9"/>
      <pivotSelection pane="bottomRight" showHeader="1" extendable="1" axis="axisRow" max="7" activeRow="3" previousRow="8" click="1" r:id="rId1">
        <pivotArea dataOnly="0" axis="axisRow" fieldPosition="0">
          <references count="1">
            <reference field="2" count="6">
              <x v="0"/>
              <x v="1"/>
              <x v="2"/>
              <x v="3"/>
              <x v="4"/>
              <x v="5"/>
            </reference>
          </references>
        </pivotArea>
      </pivotSelection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2" t="s">
        <v>44</v>
      </c>
      <c r="B3" t="s">
        <v>48</v>
      </c>
    </row>
    <row r="4" spans="1:2" x14ac:dyDescent="0.3">
      <c r="A4" s="3" t="s">
        <v>24</v>
      </c>
      <c r="B4">
        <v>12</v>
      </c>
    </row>
    <row r="5" spans="1:2" x14ac:dyDescent="0.3">
      <c r="A5" s="3" t="s">
        <v>27</v>
      </c>
      <c r="B5">
        <v>25</v>
      </c>
    </row>
    <row r="6" spans="1:2" x14ac:dyDescent="0.3">
      <c r="A6" s="3" t="s">
        <v>30</v>
      </c>
      <c r="B6">
        <v>18</v>
      </c>
    </row>
    <row r="7" spans="1:2" x14ac:dyDescent="0.3">
      <c r="A7" s="3" t="s">
        <v>10</v>
      </c>
      <c r="B7">
        <v>9</v>
      </c>
    </row>
    <row r="8" spans="1:2" x14ac:dyDescent="0.3">
      <c r="A8" s="3" t="s">
        <v>15</v>
      </c>
      <c r="B8">
        <v>23</v>
      </c>
    </row>
    <row r="9" spans="1:2" x14ac:dyDescent="0.3">
      <c r="A9" s="3" t="s">
        <v>19</v>
      </c>
      <c r="B9">
        <v>18</v>
      </c>
    </row>
    <row r="10" spans="1:2" x14ac:dyDescent="0.3">
      <c r="A10" s="3" t="s">
        <v>45</v>
      </c>
      <c r="B10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4CC43-7740-4D27-845E-4F6CBDE95B94}">
  <dimension ref="A1:J24"/>
  <sheetViews>
    <sheetView workbookViewId="0"/>
  </sheetViews>
  <sheetFormatPr defaultRowHeight="14.4" x14ac:dyDescent="0.3"/>
  <cols>
    <col min="2" max="2" width="10.5546875" bestFit="1" customWidth="1"/>
    <col min="3" max="3" width="11.109375" bestFit="1" customWidth="1"/>
    <col min="4" max="4" width="10.44140625" bestFit="1" customWidth="1"/>
    <col min="5" max="5" width="10.6640625" bestFit="1" customWidth="1"/>
    <col min="9" max="9" width="13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43</v>
      </c>
    </row>
    <row r="2" spans="1:10" x14ac:dyDescent="0.3">
      <c r="A2" t="s">
        <v>9</v>
      </c>
      <c r="B2" s="1">
        <v>46023</v>
      </c>
      <c r="C2" t="s">
        <v>10</v>
      </c>
      <c r="D2" t="s">
        <v>11</v>
      </c>
      <c r="E2" t="s">
        <v>12</v>
      </c>
      <c r="F2">
        <v>2</v>
      </c>
      <c r="G2">
        <v>110000</v>
      </c>
      <c r="H2">
        <v>90000</v>
      </c>
      <c r="I2" t="s">
        <v>13</v>
      </c>
      <c r="J2">
        <f>G2-H2</f>
        <v>20000</v>
      </c>
    </row>
    <row r="3" spans="1:10" x14ac:dyDescent="0.3">
      <c r="A3" t="s">
        <v>14</v>
      </c>
      <c r="B3" s="1">
        <v>46025</v>
      </c>
      <c r="C3" t="s">
        <v>15</v>
      </c>
      <c r="D3" t="s">
        <v>11</v>
      </c>
      <c r="E3" t="s">
        <v>16</v>
      </c>
      <c r="F3">
        <v>3</v>
      </c>
      <c r="G3">
        <v>75000</v>
      </c>
      <c r="H3">
        <v>60000</v>
      </c>
      <c r="I3" t="s">
        <v>17</v>
      </c>
      <c r="J3">
        <f t="shared" ref="J3:J21" si="0">G3-H3</f>
        <v>15000</v>
      </c>
    </row>
    <row r="4" spans="1:10" x14ac:dyDescent="0.3">
      <c r="A4" t="s">
        <v>18</v>
      </c>
      <c r="B4" s="1">
        <v>46027</v>
      </c>
      <c r="C4" t="s">
        <v>19</v>
      </c>
      <c r="D4" t="s">
        <v>20</v>
      </c>
      <c r="E4" t="s">
        <v>21</v>
      </c>
      <c r="F4">
        <v>5</v>
      </c>
      <c r="G4">
        <v>40000</v>
      </c>
      <c r="H4">
        <v>30000</v>
      </c>
      <c r="I4" t="s">
        <v>13</v>
      </c>
      <c r="J4">
        <f t="shared" si="0"/>
        <v>10000</v>
      </c>
    </row>
    <row r="5" spans="1:10" x14ac:dyDescent="0.3">
      <c r="A5" t="s">
        <v>22</v>
      </c>
      <c r="B5" s="1">
        <v>46030</v>
      </c>
      <c r="C5" t="s">
        <v>10</v>
      </c>
      <c r="D5" t="s">
        <v>11</v>
      </c>
      <c r="E5" t="s">
        <v>12</v>
      </c>
      <c r="F5">
        <v>1</v>
      </c>
      <c r="G5">
        <v>55000</v>
      </c>
      <c r="H5">
        <v>45000</v>
      </c>
      <c r="I5" t="s">
        <v>17</v>
      </c>
      <c r="J5">
        <f t="shared" si="0"/>
        <v>10000</v>
      </c>
    </row>
    <row r="6" spans="1:10" x14ac:dyDescent="0.3">
      <c r="A6" t="s">
        <v>23</v>
      </c>
      <c r="B6" s="1">
        <v>46032</v>
      </c>
      <c r="C6" t="s">
        <v>24</v>
      </c>
      <c r="D6" t="s">
        <v>20</v>
      </c>
      <c r="E6" t="s">
        <v>16</v>
      </c>
      <c r="F6">
        <v>4</v>
      </c>
      <c r="G6">
        <v>48000</v>
      </c>
      <c r="H6">
        <v>36000</v>
      </c>
      <c r="I6" t="s">
        <v>13</v>
      </c>
      <c r="J6">
        <f t="shared" si="0"/>
        <v>12000</v>
      </c>
    </row>
    <row r="7" spans="1:10" x14ac:dyDescent="0.3">
      <c r="A7" t="s">
        <v>25</v>
      </c>
      <c r="B7" s="1">
        <v>46034</v>
      </c>
      <c r="C7" t="s">
        <v>15</v>
      </c>
      <c r="D7" t="s">
        <v>11</v>
      </c>
      <c r="E7" t="s">
        <v>12</v>
      </c>
      <c r="F7">
        <v>5</v>
      </c>
      <c r="G7">
        <v>125000</v>
      </c>
      <c r="H7">
        <v>100000</v>
      </c>
      <c r="I7" t="s">
        <v>13</v>
      </c>
      <c r="J7">
        <f t="shared" si="0"/>
        <v>25000</v>
      </c>
    </row>
    <row r="8" spans="1:10" x14ac:dyDescent="0.3">
      <c r="A8" t="s">
        <v>26</v>
      </c>
      <c r="B8" s="1">
        <v>46037</v>
      </c>
      <c r="C8" t="s">
        <v>27</v>
      </c>
      <c r="D8" t="s">
        <v>28</v>
      </c>
      <c r="E8" t="s">
        <v>21</v>
      </c>
      <c r="F8">
        <v>10</v>
      </c>
      <c r="G8">
        <v>30000</v>
      </c>
      <c r="H8">
        <v>20000</v>
      </c>
      <c r="I8" t="s">
        <v>17</v>
      </c>
      <c r="J8">
        <f t="shared" si="0"/>
        <v>10000</v>
      </c>
    </row>
    <row r="9" spans="1:10" x14ac:dyDescent="0.3">
      <c r="A9" t="s">
        <v>29</v>
      </c>
      <c r="B9" s="1">
        <v>46040</v>
      </c>
      <c r="C9" t="s">
        <v>30</v>
      </c>
      <c r="D9" t="s">
        <v>28</v>
      </c>
      <c r="E9" t="s">
        <v>12</v>
      </c>
      <c r="F9">
        <v>8</v>
      </c>
      <c r="G9">
        <v>24000</v>
      </c>
      <c r="H9">
        <v>16000</v>
      </c>
      <c r="I9" t="s">
        <v>13</v>
      </c>
      <c r="J9">
        <f t="shared" si="0"/>
        <v>8000</v>
      </c>
    </row>
    <row r="10" spans="1:10" x14ac:dyDescent="0.3">
      <c r="A10" t="s">
        <v>31</v>
      </c>
      <c r="B10" s="1">
        <v>46042</v>
      </c>
      <c r="C10" t="s">
        <v>10</v>
      </c>
      <c r="D10" t="s">
        <v>11</v>
      </c>
      <c r="E10" t="s">
        <v>16</v>
      </c>
      <c r="F10">
        <v>2</v>
      </c>
      <c r="G10">
        <v>110000</v>
      </c>
      <c r="H10">
        <v>90000</v>
      </c>
      <c r="I10" t="s">
        <v>17</v>
      </c>
      <c r="J10">
        <f t="shared" si="0"/>
        <v>20000</v>
      </c>
    </row>
    <row r="11" spans="1:10" x14ac:dyDescent="0.3">
      <c r="A11" t="s">
        <v>32</v>
      </c>
      <c r="B11" s="1">
        <v>46045</v>
      </c>
      <c r="C11" t="s">
        <v>19</v>
      </c>
      <c r="D11" t="s">
        <v>20</v>
      </c>
      <c r="E11" t="s">
        <v>12</v>
      </c>
      <c r="F11">
        <v>6</v>
      </c>
      <c r="G11">
        <v>48000</v>
      </c>
      <c r="H11">
        <v>36000</v>
      </c>
      <c r="I11" t="s">
        <v>13</v>
      </c>
      <c r="J11">
        <f t="shared" si="0"/>
        <v>12000</v>
      </c>
    </row>
    <row r="12" spans="1:10" x14ac:dyDescent="0.3">
      <c r="A12" t="s">
        <v>33</v>
      </c>
      <c r="B12" s="1">
        <v>46047</v>
      </c>
      <c r="C12" t="s">
        <v>15</v>
      </c>
      <c r="D12" t="s">
        <v>11</v>
      </c>
      <c r="E12" t="s">
        <v>21</v>
      </c>
      <c r="F12">
        <v>4</v>
      </c>
      <c r="G12">
        <v>100000</v>
      </c>
      <c r="H12">
        <v>80000</v>
      </c>
      <c r="I12" t="s">
        <v>17</v>
      </c>
      <c r="J12">
        <f t="shared" si="0"/>
        <v>20000</v>
      </c>
    </row>
    <row r="13" spans="1:10" x14ac:dyDescent="0.3">
      <c r="A13" t="s">
        <v>34</v>
      </c>
      <c r="B13" s="1">
        <v>46050</v>
      </c>
      <c r="C13" t="s">
        <v>24</v>
      </c>
      <c r="D13" t="s">
        <v>20</v>
      </c>
      <c r="E13" t="s">
        <v>12</v>
      </c>
      <c r="F13">
        <v>3</v>
      </c>
      <c r="G13">
        <v>36000</v>
      </c>
      <c r="H13">
        <v>27000</v>
      </c>
      <c r="I13" t="s">
        <v>13</v>
      </c>
      <c r="J13">
        <f t="shared" si="0"/>
        <v>9000</v>
      </c>
    </row>
    <row r="14" spans="1:10" x14ac:dyDescent="0.3">
      <c r="A14" t="s">
        <v>35</v>
      </c>
      <c r="B14" s="1">
        <v>46055</v>
      </c>
      <c r="C14" t="s">
        <v>10</v>
      </c>
      <c r="D14" t="s">
        <v>11</v>
      </c>
      <c r="E14" t="s">
        <v>12</v>
      </c>
      <c r="F14">
        <v>3</v>
      </c>
      <c r="G14">
        <v>165000</v>
      </c>
      <c r="H14">
        <v>135000</v>
      </c>
      <c r="I14" t="s">
        <v>13</v>
      </c>
      <c r="J14">
        <f t="shared" si="0"/>
        <v>30000</v>
      </c>
    </row>
    <row r="15" spans="1:10" x14ac:dyDescent="0.3">
      <c r="A15" t="s">
        <v>36</v>
      </c>
      <c r="B15" s="1">
        <v>46058</v>
      </c>
      <c r="C15" t="s">
        <v>15</v>
      </c>
      <c r="D15" t="s">
        <v>11</v>
      </c>
      <c r="E15" t="s">
        <v>16</v>
      </c>
      <c r="F15">
        <v>6</v>
      </c>
      <c r="G15">
        <v>150000</v>
      </c>
      <c r="H15">
        <v>120000</v>
      </c>
      <c r="I15" t="s">
        <v>17</v>
      </c>
      <c r="J15">
        <f t="shared" si="0"/>
        <v>30000</v>
      </c>
    </row>
    <row r="16" spans="1:10" x14ac:dyDescent="0.3">
      <c r="A16" t="s">
        <v>37</v>
      </c>
      <c r="B16" s="1">
        <v>46061</v>
      </c>
      <c r="C16" t="s">
        <v>27</v>
      </c>
      <c r="D16" t="s">
        <v>28</v>
      </c>
      <c r="E16" t="s">
        <v>12</v>
      </c>
      <c r="F16">
        <v>15</v>
      </c>
      <c r="G16">
        <v>45000</v>
      </c>
      <c r="H16">
        <v>30000</v>
      </c>
      <c r="I16" t="s">
        <v>13</v>
      </c>
      <c r="J16">
        <f t="shared" si="0"/>
        <v>15000</v>
      </c>
    </row>
    <row r="17" spans="1:10" x14ac:dyDescent="0.3">
      <c r="A17" t="s">
        <v>38</v>
      </c>
      <c r="B17" s="1">
        <v>46064</v>
      </c>
      <c r="C17" t="s">
        <v>24</v>
      </c>
      <c r="D17" t="s">
        <v>20</v>
      </c>
      <c r="E17" t="s">
        <v>21</v>
      </c>
      <c r="F17">
        <v>5</v>
      </c>
      <c r="G17">
        <v>60000</v>
      </c>
      <c r="H17">
        <v>45000</v>
      </c>
      <c r="I17" t="s">
        <v>17</v>
      </c>
      <c r="J17">
        <f t="shared" si="0"/>
        <v>15000</v>
      </c>
    </row>
    <row r="18" spans="1:10" x14ac:dyDescent="0.3">
      <c r="A18" t="s">
        <v>39</v>
      </c>
      <c r="B18" s="1">
        <v>46067</v>
      </c>
      <c r="C18" t="s">
        <v>30</v>
      </c>
      <c r="D18" t="s">
        <v>28</v>
      </c>
      <c r="E18" t="s">
        <v>16</v>
      </c>
      <c r="F18">
        <v>10</v>
      </c>
      <c r="G18">
        <v>30000</v>
      </c>
      <c r="H18">
        <v>20000</v>
      </c>
      <c r="I18" t="s">
        <v>13</v>
      </c>
      <c r="J18">
        <f t="shared" si="0"/>
        <v>10000</v>
      </c>
    </row>
    <row r="19" spans="1:10" x14ac:dyDescent="0.3">
      <c r="A19" t="s">
        <v>40</v>
      </c>
      <c r="B19" s="1">
        <v>46071</v>
      </c>
      <c r="C19" t="s">
        <v>10</v>
      </c>
      <c r="D19" t="s">
        <v>11</v>
      </c>
      <c r="E19" t="s">
        <v>21</v>
      </c>
      <c r="F19">
        <v>1</v>
      </c>
      <c r="G19">
        <v>55000</v>
      </c>
      <c r="H19">
        <v>45000</v>
      </c>
      <c r="I19" t="s">
        <v>17</v>
      </c>
      <c r="J19">
        <f t="shared" si="0"/>
        <v>10000</v>
      </c>
    </row>
    <row r="20" spans="1:10" x14ac:dyDescent="0.3">
      <c r="A20" t="s">
        <v>41</v>
      </c>
      <c r="B20" s="1">
        <v>46074</v>
      </c>
      <c r="C20" t="s">
        <v>19</v>
      </c>
      <c r="D20" t="s">
        <v>20</v>
      </c>
      <c r="E20" t="s">
        <v>12</v>
      </c>
      <c r="F20">
        <v>7</v>
      </c>
      <c r="G20">
        <v>56000</v>
      </c>
      <c r="H20">
        <v>42000</v>
      </c>
      <c r="I20" t="s">
        <v>13</v>
      </c>
      <c r="J20">
        <f t="shared" si="0"/>
        <v>14000</v>
      </c>
    </row>
    <row r="21" spans="1:10" x14ac:dyDescent="0.3">
      <c r="A21" t="s">
        <v>42</v>
      </c>
      <c r="B21" s="1">
        <v>46078</v>
      </c>
      <c r="C21" t="s">
        <v>15</v>
      </c>
      <c r="D21" t="s">
        <v>11</v>
      </c>
      <c r="E21" t="s">
        <v>12</v>
      </c>
      <c r="F21">
        <v>5</v>
      </c>
      <c r="G21">
        <v>125000</v>
      </c>
      <c r="H21">
        <v>100000</v>
      </c>
      <c r="I21" t="s">
        <v>13</v>
      </c>
      <c r="J21">
        <f t="shared" si="0"/>
        <v>25000</v>
      </c>
    </row>
    <row r="24" spans="1:10" x14ac:dyDescent="0.3">
      <c r="G24">
        <f>SUM(G2:G21)</f>
        <v>1487000</v>
      </c>
      <c r="H24">
        <f>SUM(H2:H21)</f>
        <v>1167000</v>
      </c>
      <c r="J24">
        <f>SUM(J2:J21)</f>
        <v>320000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Sheet3</vt:lpstr>
      <vt:lpstr>Sheet4</vt:lpstr>
      <vt:lpstr>Dashboard</vt:lpstr>
      <vt:lpstr>Sheet5</vt:lpstr>
      <vt:lpstr>Sheet6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PC</dc:creator>
  <cp:lastModifiedBy>HP PC</cp:lastModifiedBy>
  <dcterms:created xsi:type="dcterms:W3CDTF">2026-08-12T14:07:53Z</dcterms:created>
  <dcterms:modified xsi:type="dcterms:W3CDTF">2026-08-13T06:20:19Z</dcterms:modified>
</cp:coreProperties>
</file>